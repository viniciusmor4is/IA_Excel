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mipengenharia-my.sharepoint.com/personal/vinicius_morais_mip_com_br/Documents/Documents/Pessoais/Cursos/IA e Excel/Criando uma Ferramenta de Controle de Investimentos com Excel/"/>
    </mc:Choice>
  </mc:AlternateContent>
  <xr:revisionPtr revIDLastSave="264" documentId="11_AD4D361C20488DEA4E38A08C9C1D677C5ADEDD9C" xr6:coauthVersionLast="47" xr6:coauthVersionMax="47" xr10:uidLastSave="{309FE87E-B59D-41C7-8ADE-4921F58B7D5F}"/>
  <bookViews>
    <workbookView xWindow="-120" yWindow="-120" windowWidth="29040" windowHeight="15840" activeTab="1" xr2:uid="{00000000-000D-0000-FFFF-FFFF00000000}"/>
  </bookViews>
  <sheets>
    <sheet name="Perguntas de negocio" sheetId="1" r:id="rId1"/>
    <sheet name="Dashboard" sheetId="2" r:id="rId2"/>
  </sheets>
  <definedNames>
    <definedName name="Aporte">Dashboard!$D$13</definedName>
    <definedName name="patrimonio">Dashboard!$D$16</definedName>
    <definedName name="qtd_anos">Dashboard!$D$14</definedName>
    <definedName name="Rendimento_carteira">Dashboard!$D$9</definedName>
    <definedName name="salario">Dashboard!$D$8</definedName>
    <definedName name="sugetao_investimento">Dashboard!$D$10</definedName>
    <definedName name="taxa_mensal">Dashboard!$D$15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2" l="1"/>
  <c r="D35" i="2" s="1"/>
  <c r="C34" i="2"/>
  <c r="D34" i="2" s="1"/>
  <c r="C33" i="2"/>
  <c r="D33" i="2" s="1"/>
  <c r="C32" i="2"/>
  <c r="D32" i="2" s="1"/>
  <c r="C31" i="2"/>
  <c r="D31" i="2" s="1"/>
  <c r="C30" i="2"/>
  <c r="D30" i="2" s="1"/>
  <c r="A23" i="1"/>
  <c r="A24" i="1"/>
  <c r="A25" i="1"/>
  <c r="A26" i="1"/>
  <c r="A27" i="1"/>
  <c r="A28" i="1"/>
  <c r="A29" i="1"/>
  <c r="A30" i="1"/>
  <c r="A31" i="1"/>
  <c r="A32" i="1"/>
  <c r="A33" i="1"/>
  <c r="A22" i="1"/>
  <c r="C27" i="2"/>
  <c r="D16" i="2"/>
  <c r="D17" i="2" s="1"/>
  <c r="D10" i="2"/>
  <c r="C21" i="2"/>
  <c r="D21" i="2" s="1"/>
  <c r="C22" i="2"/>
  <c r="D22" i="2" s="1"/>
  <c r="C23" i="2"/>
  <c r="D23" i="2" s="1"/>
  <c r="C24" i="2"/>
  <c r="D24" i="2" s="1"/>
  <c r="C20" i="2"/>
  <c r="D20" i="2" s="1"/>
</calcChain>
</file>

<file path=xl/sharedStrings.xml><?xml version="1.0" encoding="utf-8"?>
<sst xmlns="http://schemas.openxmlformats.org/spreadsheetml/2006/main" count="81" uniqueCount="41">
  <si>
    <t>Perguntas:</t>
  </si>
  <si>
    <t>1) Quanto investir por mês?</t>
  </si>
  <si>
    <t>2) Por quantos anos?</t>
  </si>
  <si>
    <t>3) Taxa de rendimento mensal?</t>
  </si>
  <si>
    <t>4) Patrimônio acumulado?</t>
  </si>
  <si>
    <t>5) Dividendos mensais</t>
  </si>
  <si>
    <t>INVESTIMENTO MENSAL</t>
  </si>
  <si>
    <t>Quanto em 2 anos?</t>
  </si>
  <si>
    <t>Cenários</t>
  </si>
  <si>
    <t>Quanto em 5 anos?</t>
  </si>
  <si>
    <t>Quanto em 10 anos?</t>
  </si>
  <si>
    <t>Quanto em 20 anos?</t>
  </si>
  <si>
    <t>Quanto em 30 anos?</t>
  </si>
  <si>
    <t>Dividendo</t>
  </si>
  <si>
    <t>Rendimento da carteira</t>
  </si>
  <si>
    <t>Salário</t>
  </si>
  <si>
    <t>Sugestão de investimento</t>
  </si>
  <si>
    <t>CONFIGURAÇÕES</t>
  </si>
  <si>
    <t>Perfil</t>
  </si>
  <si>
    <t>Agressivo</t>
  </si>
  <si>
    <t>Valor a ser investido por mês</t>
  </si>
  <si>
    <t>Moderado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</si>
  <si>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</si>
  <si>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</si>
  <si>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</si>
  <si>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</si>
  <si>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</si>
  <si>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</si>
  <si>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</si>
  <si>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</si>
  <si>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</si>
  <si>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Tipo de FII</t>
  </si>
  <si>
    <t>%</t>
  </si>
  <si>
    <t>Conservador</t>
  </si>
  <si>
    <t>Conservador-Papel</t>
  </si>
  <si>
    <t>Conservador-Tijolo</t>
  </si>
  <si>
    <t>Conservador-Híbridos</t>
  </si>
  <si>
    <t>Conservador-FOFs</t>
  </si>
  <si>
    <t>Conservador-Desenvolvimento</t>
  </si>
  <si>
    <t>Conservador-Hotelarias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</si>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</sst>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6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20"/>
      <color theme="1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/>
      <right style="hair">
        <color theme="0" tint="-0.14996795556505021"/>
      </right>
      <top/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theme="0" tint="-0.14996795556505021"/>
      </bottom>
      <diagonal/>
    </border>
    <border>
      <left style="medium">
        <color indexed="64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/>
      <top style="hair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4" borderId="0" applyNumberFormat="0" applyBorder="0" applyAlignment="0" applyProtection="0"/>
  </cellStyleXfs>
  <cellXfs count="52">
    <xf numFmtId="0" fontId="0" fillId="0" borderId="0" xfId="0"/>
    <xf numFmtId="0" fontId="4" fillId="3" borderId="1" xfId="0" applyFont="1" applyFill="1" applyBorder="1" applyAlignment="1">
      <alignment horizontal="centerContinuous"/>
    </xf>
    <xf numFmtId="0" fontId="2" fillId="3" borderId="2" xfId="0" applyFont="1" applyFill="1" applyBorder="1" applyAlignment="1">
      <alignment horizontal="centerContinuous"/>
    </xf>
    <xf numFmtId="0" fontId="3" fillId="0" borderId="0" xfId="0" applyFont="1"/>
    <xf numFmtId="0" fontId="2" fillId="3" borderId="3" xfId="0" applyFont="1" applyFill="1" applyBorder="1" applyAlignment="1">
      <alignment horizontal="centerContinuous"/>
    </xf>
    <xf numFmtId="9" fontId="0" fillId="0" borderId="0" xfId="0" applyNumberFormat="1"/>
    <xf numFmtId="0" fontId="6" fillId="5" borderId="2" xfId="0" applyFont="1" applyFill="1" applyBorder="1" applyAlignment="1">
      <alignment horizontal="centerContinuous" vertical="center"/>
    </xf>
    <xf numFmtId="0" fontId="7" fillId="0" borderId="0" xfId="0" applyFont="1"/>
    <xf numFmtId="0" fontId="8" fillId="5" borderId="1" xfId="0" applyFont="1" applyFill="1" applyBorder="1" applyAlignment="1">
      <alignment horizontal="centerContinuous" vertical="center"/>
    </xf>
    <xf numFmtId="0" fontId="0" fillId="2" borderId="0" xfId="0" applyFill="1"/>
    <xf numFmtId="0" fontId="0" fillId="3" borderId="3" xfId="0" applyFill="1" applyBorder="1" applyAlignment="1">
      <alignment horizontal="centerContinuous"/>
    </xf>
    <xf numFmtId="0" fontId="0" fillId="5" borderId="3" xfId="0" applyFill="1" applyBorder="1" applyAlignment="1">
      <alignment horizontal="centerContinuous"/>
    </xf>
    <xf numFmtId="0" fontId="4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166" fontId="0" fillId="2" borderId="5" xfId="1" applyNumberFormat="1" applyFont="1" applyFill="1" applyBorder="1" applyAlignment="1">
      <alignment horizontal="left"/>
    </xf>
    <xf numFmtId="166" fontId="0" fillId="2" borderId="6" xfId="1" applyNumberFormat="1" applyFont="1" applyFill="1" applyBorder="1" applyAlignment="1">
      <alignment horizontal="left"/>
    </xf>
    <xf numFmtId="166" fontId="0" fillId="2" borderId="8" xfId="1" applyNumberFormat="1" applyFont="1" applyFill="1" applyBorder="1" applyAlignment="1">
      <alignment horizontal="left"/>
    </xf>
    <xf numFmtId="166" fontId="0" fillId="2" borderId="9" xfId="1" applyNumberFormat="1" applyFont="1" applyFill="1" applyBorder="1" applyAlignment="1">
      <alignment horizontal="left"/>
    </xf>
    <xf numFmtId="166" fontId="0" fillId="2" borderId="11" xfId="1" applyNumberFormat="1" applyFont="1" applyFill="1" applyBorder="1" applyAlignment="1">
      <alignment horizontal="left"/>
    </xf>
    <xf numFmtId="166" fontId="0" fillId="2" borderId="12" xfId="1" applyNumberFormat="1" applyFont="1" applyFill="1" applyBorder="1" applyAlignment="1">
      <alignment horizontal="left"/>
    </xf>
    <xf numFmtId="166" fontId="0" fillId="0" borderId="6" xfId="1" applyNumberFormat="1" applyFont="1" applyBorder="1" applyAlignment="1">
      <alignment horizontal="left"/>
    </xf>
    <xf numFmtId="0" fontId="0" fillId="0" borderId="9" xfId="0" applyBorder="1" applyAlignment="1">
      <alignment horizontal="left"/>
    </xf>
    <xf numFmtId="10" fontId="0" fillId="0" borderId="9" xfId="0" applyNumberFormat="1" applyBorder="1" applyAlignment="1">
      <alignment horizontal="left"/>
    </xf>
    <xf numFmtId="10" fontId="0" fillId="0" borderId="9" xfId="0" applyNumberFormat="1" applyBorder="1" applyAlignment="1">
      <alignment horizontal="left" vertical="center"/>
    </xf>
    <xf numFmtId="166" fontId="0" fillId="0" borderId="12" xfId="1" applyNumberFormat="1" applyFont="1" applyBorder="1" applyAlignment="1">
      <alignment horizontal="left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7" fillId="2" borderId="16" xfId="0" applyFont="1" applyFill="1" applyBorder="1" applyAlignment="1">
      <alignment horizontal="left" indent="2"/>
    </xf>
    <xf numFmtId="0" fontId="7" fillId="2" borderId="17" xfId="0" applyFont="1" applyFill="1" applyBorder="1" applyAlignment="1">
      <alignment horizontal="left" indent="2"/>
    </xf>
    <xf numFmtId="0" fontId="7" fillId="2" borderId="18" xfId="0" applyFont="1" applyFill="1" applyBorder="1" applyAlignment="1">
      <alignment horizontal="left" indent="2"/>
    </xf>
    <xf numFmtId="0" fontId="7" fillId="2" borderId="4" xfId="0" applyFont="1" applyFill="1" applyBorder="1" applyAlignment="1">
      <alignment horizontal="left" indent="2"/>
    </xf>
    <xf numFmtId="0" fontId="7" fillId="2" borderId="7" xfId="0" applyFont="1" applyFill="1" applyBorder="1" applyAlignment="1">
      <alignment horizontal="left" indent="2"/>
    </xf>
    <xf numFmtId="0" fontId="7" fillId="2" borderId="10" xfId="0" applyFont="1" applyFill="1" applyBorder="1" applyAlignment="1">
      <alignment horizontal="left" indent="2"/>
    </xf>
    <xf numFmtId="0" fontId="7" fillId="2" borderId="0" xfId="0" applyFont="1" applyFill="1" applyBorder="1" applyAlignment="1">
      <alignment horizontal="left" indent="2"/>
    </xf>
    <xf numFmtId="166" fontId="0" fillId="0" borderId="0" xfId="0" applyNumberFormat="1"/>
    <xf numFmtId="166" fontId="0" fillId="2" borderId="0" xfId="0" applyNumberFormat="1" applyFill="1"/>
    <xf numFmtId="0" fontId="9" fillId="4" borderId="0" xfId="3" applyFont="1" applyBorder="1" applyAlignment="1">
      <alignment horizontal="left" indent="2"/>
    </xf>
    <xf numFmtId="0" fontId="9" fillId="4" borderId="0" xfId="3" applyFont="1"/>
    <xf numFmtId="0" fontId="6" fillId="2" borderId="0" xfId="0" applyFont="1" applyFill="1"/>
    <xf numFmtId="0" fontId="0" fillId="0" borderId="19" xfId="0" applyBorder="1"/>
    <xf numFmtId="0" fontId="0" fillId="0" borderId="20" xfId="0" applyBorder="1"/>
    <xf numFmtId="9" fontId="0" fillId="0" borderId="21" xfId="2" applyFont="1" applyBorder="1"/>
    <xf numFmtId="0" fontId="0" fillId="0" borderId="22" xfId="0" applyBorder="1"/>
    <xf numFmtId="0" fontId="0" fillId="0" borderId="0" xfId="0" applyBorder="1"/>
    <xf numFmtId="9" fontId="0" fillId="0" borderId="23" xfId="2" applyFont="1" applyBorder="1"/>
    <xf numFmtId="0" fontId="0" fillId="0" borderId="24" xfId="0" applyBorder="1"/>
    <xf numFmtId="0" fontId="0" fillId="0" borderId="25" xfId="0" applyBorder="1"/>
    <xf numFmtId="9" fontId="0" fillId="0" borderId="26" xfId="2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9526</xdr:colOff>
      <xdr:row>0</xdr:row>
      <xdr:rowOff>38100</xdr:rowOff>
    </xdr:from>
    <xdr:to>
      <xdr:col>3</xdr:col>
      <xdr:colOff>676276</xdr:colOff>
      <xdr:row>5</xdr:row>
      <xdr:rowOff>104775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3C44685-6296-70CB-4F5E-BF5F540C838C}"/>
            </a:ext>
          </a:extLst>
        </xdr:cNvPr>
        <xdr:cNvSpPr/>
      </xdr:nvSpPr>
      <xdr:spPr>
        <a:xfrm>
          <a:off x="142876" y="38100"/>
          <a:ext cx="4648200" cy="1019175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/>
            <a:t>INVEST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A7F1CC-5826-4E4B-A788-6EBA9D062250}">
  <we:reference id="7c3929fd-ffc8-4fa9-a64b-25dff355e46d" version="1.0.0.8" store="EXCatalog" storeType="EXCatalog"/>
  <we:alternateReferences>
    <we:reference id="WA200006575" version="1.0.0.8" store="pt-BR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selection activeCell="H13" sqref="H13"/>
    </sheetView>
  </sheetViews>
  <sheetFormatPr defaultRowHeight="15" x14ac:dyDescent="0.25"/>
  <cols>
    <col min="1" max="1" width="29.28515625" bestFit="1" customWidth="1"/>
    <col min="2" max="2" width="12.140625" bestFit="1" customWidth="1"/>
    <col min="3" max="3" width="16.85546875" bestFit="1" customWidth="1"/>
    <col min="4" max="4" width="15.140625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</row>
    <row r="15" spans="1:4" x14ac:dyDescent="0.25">
      <c r="A15" s="49" t="s">
        <v>40</v>
      </c>
      <c r="B15" s="50" t="s">
        <v>18</v>
      </c>
      <c r="C15" s="50" t="s">
        <v>31</v>
      </c>
      <c r="D15" s="51" t="s">
        <v>32</v>
      </c>
    </row>
    <row r="16" spans="1:4" x14ac:dyDescent="0.25">
      <c r="A16" s="40" t="s">
        <v>34</v>
      </c>
      <c r="B16" s="41" t="s">
        <v>33</v>
      </c>
      <c r="C16" s="41" t="s">
        <v>25</v>
      </c>
      <c r="D16" s="42">
        <v>0.3</v>
      </c>
    </row>
    <row r="17" spans="1:4" x14ac:dyDescent="0.25">
      <c r="A17" s="43" t="s">
        <v>35</v>
      </c>
      <c r="B17" s="44" t="s">
        <v>33</v>
      </c>
      <c r="C17" s="44" t="s">
        <v>26</v>
      </c>
      <c r="D17" s="45">
        <v>0.5</v>
      </c>
    </row>
    <row r="18" spans="1:4" x14ac:dyDescent="0.25">
      <c r="A18" s="43" t="s">
        <v>36</v>
      </c>
      <c r="B18" s="44" t="s">
        <v>33</v>
      </c>
      <c r="C18" s="44" t="s">
        <v>27</v>
      </c>
      <c r="D18" s="45">
        <v>0.1</v>
      </c>
    </row>
    <row r="19" spans="1:4" x14ac:dyDescent="0.25">
      <c r="A19" s="43" t="s">
        <v>37</v>
      </c>
      <c r="B19" s="44" t="s">
        <v>33</v>
      </c>
      <c r="C19" s="44" t="s">
        <v>28</v>
      </c>
      <c r="D19" s="45">
        <v>0.1</v>
      </c>
    </row>
    <row r="20" spans="1:4" x14ac:dyDescent="0.25">
      <c r="A20" s="43" t="s">
        <v>38</v>
      </c>
      <c r="B20" s="44" t="s">
        <v>33</v>
      </c>
      <c r="C20" s="44" t="s">
        <v>29</v>
      </c>
      <c r="D20" s="45">
        <v>0</v>
      </c>
    </row>
    <row r="21" spans="1:4" x14ac:dyDescent="0.25">
      <c r="A21" s="46" t="s">
        <v>39</v>
      </c>
      <c r="B21" s="47" t="s">
        <v>33</v>
      </c>
      <c r="C21" s="47" t="s">
        <v>30</v>
      </c>
      <c r="D21" s="48">
        <v>0</v>
      </c>
    </row>
    <row r="22" spans="1:4" x14ac:dyDescent="0.25">
      <c r="A22" s="40" t="str">
        <f>B22&amp;"-"&amp;C22</f>
        <v>Moderado-Papel</v>
      </c>
      <c r="B22" s="41" t="s">
        <v>21</v>
      </c>
      <c r="C22" s="41" t="s">
        <v>25</v>
      </c>
      <c r="D22" s="42">
        <v>0.32</v>
      </c>
    </row>
    <row r="23" spans="1:4" x14ac:dyDescent="0.25">
      <c r="A23" s="43" t="str">
        <f t="shared" ref="A23:A33" si="0">B23&amp;"-"&amp;C23</f>
        <v>Moderado-Tijolo</v>
      </c>
      <c r="B23" s="44" t="s">
        <v>21</v>
      </c>
      <c r="C23" s="44" t="s">
        <v>26</v>
      </c>
      <c r="D23" s="45">
        <v>0.4</v>
      </c>
    </row>
    <row r="24" spans="1:4" x14ac:dyDescent="0.25">
      <c r="A24" s="43" t="str">
        <f t="shared" si="0"/>
        <v>Moderado-Híbridos</v>
      </c>
      <c r="B24" s="44" t="s">
        <v>21</v>
      </c>
      <c r="C24" s="44" t="s">
        <v>27</v>
      </c>
      <c r="D24" s="45">
        <v>0.08</v>
      </c>
    </row>
    <row r="25" spans="1:4" x14ac:dyDescent="0.25">
      <c r="A25" s="43" t="str">
        <f t="shared" si="0"/>
        <v>Moderado-FOFs</v>
      </c>
      <c r="B25" s="44" t="s">
        <v>21</v>
      </c>
      <c r="C25" s="44" t="s">
        <v>28</v>
      </c>
      <c r="D25" s="45">
        <v>0.1</v>
      </c>
    </row>
    <row r="26" spans="1:4" x14ac:dyDescent="0.25">
      <c r="A26" s="43" t="str">
        <f t="shared" si="0"/>
        <v>Moderado-Desenvolvimento</v>
      </c>
      <c r="B26" s="44" t="s">
        <v>21</v>
      </c>
      <c r="C26" s="44" t="s">
        <v>29</v>
      </c>
      <c r="D26" s="45">
        <v>0.1</v>
      </c>
    </row>
    <row r="27" spans="1:4" x14ac:dyDescent="0.25">
      <c r="A27" s="46" t="str">
        <f t="shared" si="0"/>
        <v>Moderado-Hotelarias</v>
      </c>
      <c r="B27" s="47" t="s">
        <v>21</v>
      </c>
      <c r="C27" s="47" t="s">
        <v>30</v>
      </c>
      <c r="D27" s="48">
        <v>0.1</v>
      </c>
    </row>
    <row r="28" spans="1:4" x14ac:dyDescent="0.25">
      <c r="A28" s="40" t="str">
        <f t="shared" si="0"/>
        <v>Agressivo-Papel</v>
      </c>
      <c r="B28" s="41" t="s">
        <v>19</v>
      </c>
      <c r="C28" s="41" t="s">
        <v>25</v>
      </c>
      <c r="D28" s="42">
        <v>0.5</v>
      </c>
    </row>
    <row r="29" spans="1:4" x14ac:dyDescent="0.25">
      <c r="A29" s="43" t="str">
        <f t="shared" si="0"/>
        <v>Agressivo-Tijolo</v>
      </c>
      <c r="B29" s="44" t="s">
        <v>19</v>
      </c>
      <c r="C29" s="44" t="s">
        <v>26</v>
      </c>
      <c r="D29" s="45">
        <v>0.1</v>
      </c>
    </row>
    <row r="30" spans="1:4" x14ac:dyDescent="0.25">
      <c r="A30" s="43" t="str">
        <f t="shared" si="0"/>
        <v>Agressivo-Híbridos</v>
      </c>
      <c r="B30" s="44" t="s">
        <v>19</v>
      </c>
      <c r="C30" s="44" t="s">
        <v>27</v>
      </c>
      <c r="D30" s="45">
        <v>0.05</v>
      </c>
    </row>
    <row r="31" spans="1:4" x14ac:dyDescent="0.25">
      <c r="A31" s="43" t="str">
        <f t="shared" si="0"/>
        <v>Agressivo-FOFs</v>
      </c>
      <c r="B31" s="44" t="s">
        <v>19</v>
      </c>
      <c r="C31" s="44" t="s">
        <v>28</v>
      </c>
      <c r="D31" s="45">
        <v>0.05</v>
      </c>
    </row>
    <row r="32" spans="1:4" x14ac:dyDescent="0.25">
      <c r="A32" s="43" t="str">
        <f t="shared" si="0"/>
        <v>Agressivo-Desenvolvimento</v>
      </c>
      <c r="B32" s="44" t="s">
        <v>19</v>
      </c>
      <c r="C32" s="44" t="s">
        <v>29</v>
      </c>
      <c r="D32" s="45">
        <v>0.2</v>
      </c>
    </row>
    <row r="33" spans="1:4" x14ac:dyDescent="0.25">
      <c r="A33" s="46" t="str">
        <f t="shared" si="0"/>
        <v>Agressivo-Hotelarias</v>
      </c>
      <c r="B33" s="47" t="s">
        <v>19</v>
      </c>
      <c r="C33" s="47" t="s">
        <v>30</v>
      </c>
      <c r="D33" s="48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16C06-6D6A-40C3-95C6-DEA90ACB1481}">
  <dimension ref="A6:K36"/>
  <sheetViews>
    <sheetView showGridLines="0" tabSelected="1" topLeftCell="A19" zoomScale="130" zoomScaleNormal="130" workbookViewId="0">
      <selection activeCell="C26" sqref="C26"/>
    </sheetView>
  </sheetViews>
  <sheetFormatPr defaultColWidth="0" defaultRowHeight="15" x14ac:dyDescent="0.25"/>
  <cols>
    <col min="1" max="1" width="2" customWidth="1"/>
    <col min="2" max="2" width="40.5703125" bestFit="1" customWidth="1"/>
    <col min="3" max="3" width="19.140625" bestFit="1" customWidth="1"/>
    <col min="4" max="4" width="13.28515625" bestFit="1" customWidth="1"/>
    <col min="5" max="5" width="3.5703125" customWidth="1"/>
    <col min="6" max="11" width="4.28515625" hidden="1" customWidth="1"/>
    <col min="12" max="16384" width="9.140625" hidden="1"/>
  </cols>
  <sheetData>
    <row r="6" spans="2:6" ht="15.75" thickBot="1" x14ac:dyDescent="0.3"/>
    <row r="7" spans="2:6" ht="26.25" x14ac:dyDescent="0.25">
      <c r="B7" s="8" t="s">
        <v>17</v>
      </c>
      <c r="C7" s="11"/>
      <c r="D7" s="6"/>
    </row>
    <row r="8" spans="2:6" ht="15.75" x14ac:dyDescent="0.25">
      <c r="B8" s="28" t="s">
        <v>15</v>
      </c>
      <c r="C8" s="25"/>
      <c r="D8" s="20">
        <v>5000</v>
      </c>
    </row>
    <row r="9" spans="2:6" ht="15.75" x14ac:dyDescent="0.25">
      <c r="B9" s="29" t="s">
        <v>14</v>
      </c>
      <c r="C9" s="26"/>
      <c r="D9" s="23">
        <v>0.01</v>
      </c>
    </row>
    <row r="10" spans="2:6" ht="16.5" thickBot="1" x14ac:dyDescent="0.3">
      <c r="B10" s="30" t="s">
        <v>16</v>
      </c>
      <c r="C10" s="27"/>
      <c r="D10" s="24">
        <f>D8*30%</f>
        <v>1500</v>
      </c>
    </row>
    <row r="11" spans="2:6" ht="15.75" thickBot="1" x14ac:dyDescent="0.3"/>
    <row r="12" spans="2:6" ht="26.25" x14ac:dyDescent="0.4">
      <c r="B12" s="1" t="s">
        <v>6</v>
      </c>
      <c r="C12" s="10"/>
      <c r="D12" s="2"/>
    </row>
    <row r="13" spans="2:6" ht="15.75" x14ac:dyDescent="0.25">
      <c r="B13" s="28" t="s">
        <v>1</v>
      </c>
      <c r="C13" s="25"/>
      <c r="D13" s="20">
        <v>500</v>
      </c>
    </row>
    <row r="14" spans="2:6" ht="15.75" x14ac:dyDescent="0.25">
      <c r="B14" s="29" t="s">
        <v>2</v>
      </c>
      <c r="C14" s="26"/>
      <c r="D14" s="21">
        <v>5</v>
      </c>
      <c r="F14" s="7"/>
    </row>
    <row r="15" spans="2:6" ht="15.75" x14ac:dyDescent="0.25">
      <c r="B15" s="29" t="s">
        <v>3</v>
      </c>
      <c r="C15" s="26"/>
      <c r="D15" s="22">
        <v>1.0800000000000001E-2</v>
      </c>
    </row>
    <row r="16" spans="2:6" ht="15.75" x14ac:dyDescent="0.25">
      <c r="B16" s="29" t="s">
        <v>4</v>
      </c>
      <c r="C16" s="26"/>
      <c r="D16" s="17">
        <f>FV(taxa_mensal,qtd_anos*12,-Aporte)</f>
        <v>41902.00967962922</v>
      </c>
    </row>
    <row r="17" spans="1:4" ht="16.5" thickBot="1" x14ac:dyDescent="0.3">
      <c r="B17" s="30" t="s">
        <v>5</v>
      </c>
      <c r="C17" s="27"/>
      <c r="D17" s="19">
        <f>patrimonio*1%</f>
        <v>419.02009679629219</v>
      </c>
    </row>
    <row r="18" spans="1:4" ht="15.75" thickBot="1" x14ac:dyDescent="0.3"/>
    <row r="19" spans="1:4" ht="26.25" x14ac:dyDescent="0.4">
      <c r="B19" s="12" t="s">
        <v>8</v>
      </c>
      <c r="C19" s="4"/>
      <c r="D19" s="13" t="s">
        <v>13</v>
      </c>
    </row>
    <row r="20" spans="1:4" ht="15.75" x14ac:dyDescent="0.25">
      <c r="A20" s="3">
        <v>2</v>
      </c>
      <c r="B20" s="31" t="s">
        <v>7</v>
      </c>
      <c r="C20" s="14">
        <f>FV($D$15,A20*12,-$D$13)</f>
        <v>13615.431830290796</v>
      </c>
      <c r="D20" s="15">
        <f>C20*Rendimento_carteira</f>
        <v>136.15431830290797</v>
      </c>
    </row>
    <row r="21" spans="1:4" ht="15.75" x14ac:dyDescent="0.25">
      <c r="A21" s="3">
        <v>5</v>
      </c>
      <c r="B21" s="32" t="s">
        <v>9</v>
      </c>
      <c r="C21" s="16">
        <f>FV($D$15,A21*12,-$D$13)</f>
        <v>41902.00967962922</v>
      </c>
      <c r="D21" s="17">
        <f>C21*Rendimento_carteira</f>
        <v>419.02009679629219</v>
      </c>
    </row>
    <row r="22" spans="1:4" ht="15.75" x14ac:dyDescent="0.25">
      <c r="A22" s="3">
        <v>10</v>
      </c>
      <c r="B22" s="32" t="s">
        <v>10</v>
      </c>
      <c r="C22" s="16">
        <f>FV($D$15,A22*12,-$D$13)</f>
        <v>121728.83312740005</v>
      </c>
      <c r="D22" s="17">
        <f>C22*Rendimento_carteira</f>
        <v>1217.2883312740005</v>
      </c>
    </row>
    <row r="23" spans="1:4" ht="15.75" x14ac:dyDescent="0.25">
      <c r="A23" s="3">
        <v>20</v>
      </c>
      <c r="B23" s="32" t="s">
        <v>11</v>
      </c>
      <c r="C23" s="16">
        <f>FV($D$15,A23*12,-$D$13)</f>
        <v>563524.49664926168</v>
      </c>
      <c r="D23" s="17">
        <f>C23*Rendimento_carteira</f>
        <v>5635.2449664926171</v>
      </c>
    </row>
    <row r="24" spans="1:4" ht="16.5" thickBot="1" x14ac:dyDescent="0.3">
      <c r="A24" s="3">
        <v>30</v>
      </c>
      <c r="B24" s="33" t="s">
        <v>12</v>
      </c>
      <c r="C24" s="18">
        <f>FV($D$15,A24*12,-$D$13)</f>
        <v>2166952.4051583759</v>
      </c>
      <c r="D24" s="19">
        <f>C24*Rendimento_carteira</f>
        <v>21669.524051583758</v>
      </c>
    </row>
    <row r="26" spans="1:4" x14ac:dyDescent="0.25">
      <c r="B26" s="37" t="s">
        <v>18</v>
      </c>
      <c r="C26" s="38" t="s">
        <v>19</v>
      </c>
      <c r="D26" s="38"/>
    </row>
    <row r="27" spans="1:4" ht="15.75" x14ac:dyDescent="0.25">
      <c r="B27" s="34" t="s">
        <v>20</v>
      </c>
      <c r="C27" s="36">
        <f>Aporte</f>
        <v>500</v>
      </c>
      <c r="D27" s="9"/>
    </row>
    <row r="29" spans="1:4" x14ac:dyDescent="0.25">
      <c r="B29" s="39" t="s">
        <v>22</v>
      </c>
      <c r="C29" s="39" t="s">
        <v>23</v>
      </c>
      <c r="D29" s="39" t="s">
        <v>24</v>
      </c>
    </row>
    <row r="30" spans="1:4" x14ac:dyDescent="0.25">
      <c r="B30" t="s">
        <v>25</v>
      </c>
      <c r="C30" s="5">
        <f>_xlfn.XLOOKUP($C$26&amp;"-"&amp;B30,'Perguntas de negocio'!$A$16:$A$33,'Perguntas de negocio'!$D$16:$D$33)</f>
        <v>0.5</v>
      </c>
      <c r="D30" s="35">
        <f>C30*$C$27</f>
        <v>250</v>
      </c>
    </row>
    <row r="31" spans="1:4" x14ac:dyDescent="0.25">
      <c r="B31" t="s">
        <v>26</v>
      </c>
      <c r="C31" s="5">
        <f>_xlfn.XLOOKUP($C$26&amp;"-"&amp;B31,'Perguntas de negocio'!$A$16:$A$33,'Perguntas de negocio'!$D$16:$D$33)</f>
        <v>0.1</v>
      </c>
      <c r="D31" s="35">
        <f t="shared" ref="D31:D35" si="0">C31*$C$27</f>
        <v>50</v>
      </c>
    </row>
    <row r="32" spans="1:4" x14ac:dyDescent="0.25">
      <c r="B32" t="s">
        <v>27</v>
      </c>
      <c r="C32" s="5">
        <f>_xlfn.XLOOKUP($C$26&amp;"-"&amp;B32,'Perguntas de negocio'!$A$16:$A$33,'Perguntas de negocio'!$D$16:$D$33)</f>
        <v>0.05</v>
      </c>
      <c r="D32" s="35">
        <f t="shared" si="0"/>
        <v>25</v>
      </c>
    </row>
    <row r="33" spans="2:4" x14ac:dyDescent="0.25">
      <c r="B33" t="s">
        <v>28</v>
      </c>
      <c r="C33" s="5">
        <f>_xlfn.XLOOKUP($C$26&amp;"-"&amp;B33,'Perguntas de negocio'!$A$16:$A$33,'Perguntas de negocio'!$D$16:$D$33)</f>
        <v>0.05</v>
      </c>
      <c r="D33" s="35">
        <f t="shared" si="0"/>
        <v>25</v>
      </c>
    </row>
    <row r="34" spans="2:4" x14ac:dyDescent="0.25">
      <c r="B34" t="s">
        <v>29</v>
      </c>
      <c r="C34" s="5">
        <f>_xlfn.XLOOKUP($C$26&amp;"-"&amp;B34,'Perguntas de negocio'!$A$16:$A$33,'Perguntas de negocio'!$D$16:$D$33)</f>
        <v>0.2</v>
      </c>
      <c r="D34" s="35">
        <f t="shared" si="0"/>
        <v>100</v>
      </c>
    </row>
    <row r="35" spans="2:4" x14ac:dyDescent="0.25">
      <c r="B35" t="s">
        <v>30</v>
      </c>
      <c r="C35" s="5">
        <f>_xlfn.XLOOKUP($C$26&amp;"-"&amp;B35,'Perguntas de negocio'!$A$16:$A$33,'Perguntas de negocio'!$D$16:$D$33)</f>
        <v>0.1</v>
      </c>
      <c r="D35" s="35">
        <f t="shared" si="0"/>
        <v>50</v>
      </c>
    </row>
    <row r="36" spans="2:4" x14ac:dyDescent="0.25">
      <c r="B36" s="9"/>
      <c r="C36" s="9"/>
      <c r="D36" s="9"/>
    </row>
  </sheetData>
  <dataValidations count="1">
    <dataValidation type="list" allowBlank="1" showInputMessage="1" showErrorMessage="1" sqref="C26" xr:uid="{B2811338-7470-4195-9E6A-A2848D8207DB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85518135-132f-44b9-b39b-419e2912eaaa}" enabled="0" method="" siteId="{85518135-132f-44b9-b39b-419e2912ea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Perguntas de negocio</vt:lpstr>
      <vt:lpstr>Dashboard</vt:lpstr>
      <vt:lpstr>Aporte</vt:lpstr>
      <vt:lpstr>patrimonio</vt:lpstr>
      <vt:lpstr>qtd_anos</vt:lpstr>
      <vt:lpstr>Rendimento_carteira</vt:lpstr>
      <vt:lpstr>salario</vt:lpstr>
      <vt:lpstr>sugetao_investimento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de Castro Mendes Morais</dc:creator>
  <cp:lastModifiedBy>Vinicius de Castro Mendes Morais</cp:lastModifiedBy>
  <dcterms:created xsi:type="dcterms:W3CDTF">2015-06-05T18:19:34Z</dcterms:created>
  <dcterms:modified xsi:type="dcterms:W3CDTF">2026-09-23T20:35:23Z</dcterms:modified>
</cp:coreProperties>
</file>